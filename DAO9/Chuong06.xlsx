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filterPrivacy="1"/>
  <xr:revisionPtr revIDLastSave="0" documentId="13_ncr:1_{725592FC-EC80-4EF0-A403-49271D691AAE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Sheet2!$K$2:$K$2</definedName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H7" i="2" l="1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6" i="2"/>
  <c r="I6" i="2" s="1"/>
  <c r="B3" i="2" a="1"/>
  <c r="B3" i="2" s="1"/>
  <c r="C3" i="2" l="1"/>
  <c r="D3" i="2"/>
  <c r="E3" i="2"/>
  <c r="F3" i="2"/>
  <c r="G3" i="2"/>
  <c r="J80" i="2"/>
  <c r="K80" i="2" s="1"/>
  <c r="L80" i="2"/>
  <c r="M80" i="2" s="1"/>
  <c r="L63" i="2"/>
  <c r="M63" i="2" s="1"/>
  <c r="J63" i="2"/>
  <c r="K63" i="2" s="1"/>
  <c r="J46" i="2"/>
  <c r="K46" i="2" s="1"/>
  <c r="L46" i="2"/>
  <c r="M46" i="2" s="1"/>
  <c r="J45" i="2"/>
  <c r="K45" i="2" s="1"/>
  <c r="L45" i="2"/>
  <c r="M45" i="2" s="1"/>
  <c r="J28" i="2"/>
  <c r="K28" i="2" s="1"/>
  <c r="L28" i="2"/>
  <c r="M28" i="2" s="1"/>
  <c r="J59" i="2"/>
  <c r="K59" i="2" s="1"/>
  <c r="L59" i="2"/>
  <c r="M59" i="2" s="1"/>
  <c r="J58" i="2"/>
  <c r="K58" i="2" s="1"/>
  <c r="L58" i="2"/>
  <c r="M58" i="2" s="1"/>
  <c r="J89" i="2"/>
  <c r="K89" i="2" s="1"/>
  <c r="L89" i="2"/>
  <c r="M89" i="2" s="1"/>
  <c r="J41" i="2"/>
  <c r="K41" i="2" s="1"/>
  <c r="L41" i="2"/>
  <c r="M41" i="2" s="1"/>
  <c r="J56" i="2"/>
  <c r="K56" i="2" s="1"/>
  <c r="L56" i="2"/>
  <c r="M56" i="2" s="1"/>
  <c r="J24" i="2"/>
  <c r="K24" i="2" s="1"/>
  <c r="L24" i="2"/>
  <c r="M24" i="2" s="1"/>
  <c r="J86" i="2"/>
  <c r="K86" i="2" s="1"/>
  <c r="L86" i="2"/>
  <c r="M86" i="2" s="1"/>
  <c r="J70" i="2"/>
  <c r="K70" i="2" s="1"/>
  <c r="L70" i="2"/>
  <c r="M70" i="2" s="1"/>
  <c r="J54" i="2"/>
  <c r="K54" i="2" s="1"/>
  <c r="L54" i="2"/>
  <c r="M54" i="2" s="1"/>
  <c r="J38" i="2"/>
  <c r="K38" i="2" s="1"/>
  <c r="L38" i="2"/>
  <c r="M38" i="2" s="1"/>
  <c r="J22" i="2"/>
  <c r="K22" i="2" s="1"/>
  <c r="L22" i="2"/>
  <c r="M22" i="2" s="1"/>
  <c r="J21" i="2"/>
  <c r="K21" i="2" s="1"/>
  <c r="L21" i="2"/>
  <c r="M21" i="2" s="1"/>
  <c r="J64" i="2"/>
  <c r="K64" i="2" s="1"/>
  <c r="L64" i="2"/>
  <c r="M64" i="2" s="1"/>
  <c r="L79" i="2"/>
  <c r="M79" i="2" s="1"/>
  <c r="J79" i="2"/>
  <c r="K79" i="2" s="1"/>
  <c r="J78" i="2"/>
  <c r="K78" i="2" s="1"/>
  <c r="L78" i="2"/>
  <c r="M78" i="2" s="1"/>
  <c r="J61" i="2"/>
  <c r="K61" i="2" s="1"/>
  <c r="L61" i="2"/>
  <c r="M61" i="2" s="1"/>
  <c r="J60" i="2"/>
  <c r="K60" i="2" s="1"/>
  <c r="L60" i="2"/>
  <c r="M60" i="2" s="1"/>
  <c r="J43" i="2"/>
  <c r="K43" i="2" s="1"/>
  <c r="L43" i="2"/>
  <c r="M43" i="2" s="1"/>
  <c r="J26" i="2"/>
  <c r="K26" i="2" s="1"/>
  <c r="L26" i="2"/>
  <c r="M26" i="2" s="1"/>
  <c r="J25" i="2"/>
  <c r="K25" i="2" s="1"/>
  <c r="L25" i="2"/>
  <c r="M25" i="2" s="1"/>
  <c r="J85" i="2"/>
  <c r="K85" i="2" s="1"/>
  <c r="L85" i="2"/>
  <c r="M85" i="2" s="1"/>
  <c r="J37" i="2"/>
  <c r="K37" i="2" s="1"/>
  <c r="L37" i="2"/>
  <c r="M37" i="2" s="1"/>
  <c r="J84" i="2"/>
  <c r="K84" i="2" s="1"/>
  <c r="L84" i="2"/>
  <c r="M84" i="2" s="1"/>
  <c r="J68" i="2"/>
  <c r="K68" i="2" s="1"/>
  <c r="L68" i="2"/>
  <c r="M68" i="2" s="1"/>
  <c r="J52" i="2"/>
  <c r="K52" i="2" s="1"/>
  <c r="L52" i="2"/>
  <c r="M52" i="2" s="1"/>
  <c r="J36" i="2"/>
  <c r="K36" i="2" s="1"/>
  <c r="L36" i="2"/>
  <c r="M36" i="2" s="1"/>
  <c r="J20" i="2"/>
  <c r="K20" i="2" s="1"/>
  <c r="L20" i="2"/>
  <c r="M20" i="2" s="1"/>
  <c r="L31" i="2"/>
  <c r="M31" i="2" s="1"/>
  <c r="J31" i="2"/>
  <c r="K31" i="2" s="1"/>
  <c r="J77" i="2"/>
  <c r="K77" i="2" s="1"/>
  <c r="L77" i="2"/>
  <c r="M77" i="2" s="1"/>
  <c r="J92" i="2"/>
  <c r="K92" i="2" s="1"/>
  <c r="L92" i="2"/>
  <c r="M92" i="2" s="1"/>
  <c r="J91" i="2"/>
  <c r="K91" i="2" s="1"/>
  <c r="L91" i="2"/>
  <c r="M91" i="2" s="1"/>
  <c r="J42" i="2"/>
  <c r="K42" i="2" s="1"/>
  <c r="L42" i="2"/>
  <c r="M42" i="2" s="1"/>
  <c r="J57" i="2"/>
  <c r="K57" i="2" s="1"/>
  <c r="L57" i="2"/>
  <c r="M57" i="2" s="1"/>
  <c r="J88" i="2"/>
  <c r="K88" i="2" s="1"/>
  <c r="L88" i="2"/>
  <c r="M88" i="2" s="1"/>
  <c r="J69" i="2"/>
  <c r="K69" i="2" s="1"/>
  <c r="L69" i="2"/>
  <c r="M69" i="2" s="1"/>
  <c r="J53" i="2"/>
  <c r="K53" i="2" s="1"/>
  <c r="L53" i="2"/>
  <c r="M53" i="2" s="1"/>
  <c r="J83" i="2"/>
  <c r="K83" i="2" s="1"/>
  <c r="L83" i="2"/>
  <c r="M83" i="2" s="1"/>
  <c r="J67" i="2"/>
  <c r="K67" i="2" s="1"/>
  <c r="L67" i="2"/>
  <c r="M67" i="2" s="1"/>
  <c r="J51" i="2"/>
  <c r="K51" i="2" s="1"/>
  <c r="L51" i="2"/>
  <c r="M51" i="2" s="1"/>
  <c r="J35" i="2"/>
  <c r="K35" i="2" s="1"/>
  <c r="L35" i="2"/>
  <c r="M35" i="2" s="1"/>
  <c r="J19" i="2"/>
  <c r="K19" i="2" s="1"/>
  <c r="L19" i="2"/>
  <c r="M19" i="2" s="1"/>
  <c r="J48" i="2"/>
  <c r="K48" i="2" s="1"/>
  <c r="L48" i="2"/>
  <c r="M48" i="2" s="1"/>
  <c r="J30" i="2"/>
  <c r="K30" i="2" s="1"/>
  <c r="L30" i="2"/>
  <c r="M30" i="2" s="1"/>
  <c r="J44" i="2"/>
  <c r="K44" i="2" s="1"/>
  <c r="L44" i="2"/>
  <c r="M44" i="2" s="1"/>
  <c r="J90" i="2"/>
  <c r="K90" i="2" s="1"/>
  <c r="L90" i="2"/>
  <c r="M90" i="2" s="1"/>
  <c r="J82" i="2"/>
  <c r="K82" i="2" s="1"/>
  <c r="L82" i="2"/>
  <c r="M82" i="2" s="1"/>
  <c r="J66" i="2"/>
  <c r="K66" i="2" s="1"/>
  <c r="L66" i="2"/>
  <c r="M66" i="2" s="1"/>
  <c r="J50" i="2"/>
  <c r="K50" i="2" s="1"/>
  <c r="L50" i="2"/>
  <c r="M50" i="2" s="1"/>
  <c r="J34" i="2"/>
  <c r="K34" i="2" s="1"/>
  <c r="L34" i="2"/>
  <c r="M34" i="2" s="1"/>
  <c r="J18" i="2"/>
  <c r="K18" i="2" s="1"/>
  <c r="L18" i="2"/>
  <c r="M18" i="2" s="1"/>
  <c r="J32" i="2"/>
  <c r="K32" i="2" s="1"/>
  <c r="L32" i="2"/>
  <c r="M32" i="2" s="1"/>
  <c r="J62" i="2"/>
  <c r="K62" i="2" s="1"/>
  <c r="L62" i="2"/>
  <c r="M62" i="2" s="1"/>
  <c r="J29" i="2"/>
  <c r="K29" i="2" s="1"/>
  <c r="L29" i="2"/>
  <c r="M29" i="2" s="1"/>
  <c r="J27" i="2"/>
  <c r="K27" i="2" s="1"/>
  <c r="L27" i="2"/>
  <c r="M27" i="2" s="1"/>
  <c r="J81" i="2"/>
  <c r="K81" i="2" s="1"/>
  <c r="L81" i="2"/>
  <c r="M81" i="2" s="1"/>
  <c r="J65" i="2"/>
  <c r="K65" i="2" s="1"/>
  <c r="L65" i="2"/>
  <c r="M65" i="2" s="1"/>
  <c r="J49" i="2"/>
  <c r="K49" i="2" s="1"/>
  <c r="L49" i="2"/>
  <c r="M49" i="2" s="1"/>
  <c r="J33" i="2"/>
  <c r="K33" i="2" s="1"/>
  <c r="L33" i="2"/>
  <c r="M33" i="2" s="1"/>
  <c r="J17" i="2"/>
  <c r="K17" i="2" s="1"/>
  <c r="L17" i="2"/>
  <c r="M17" i="2" s="1"/>
  <c r="J16" i="2"/>
  <c r="K16" i="2" s="1"/>
  <c r="L16" i="2"/>
  <c r="M16" i="2" s="1"/>
  <c r="L15" i="2"/>
  <c r="M15" i="2" s="1"/>
  <c r="J15" i="2"/>
  <c r="K15" i="2" s="1"/>
  <c r="J14" i="2"/>
  <c r="K14" i="2" s="1"/>
  <c r="L14" i="2"/>
  <c r="M14" i="2" s="1"/>
  <c r="J13" i="2"/>
  <c r="K13" i="2" s="1"/>
  <c r="L13" i="2"/>
  <c r="M13" i="2" s="1"/>
  <c r="J12" i="2"/>
  <c r="K12" i="2" s="1"/>
  <c r="L12" i="2"/>
  <c r="M12" i="2" s="1"/>
  <c r="J11" i="2"/>
  <c r="K11" i="2" s="1"/>
  <c r="L11" i="2"/>
  <c r="M11" i="2" s="1"/>
  <c r="J10" i="2"/>
  <c r="K10" i="2" s="1"/>
  <c r="L10" i="2"/>
  <c r="M10" i="2" s="1"/>
  <c r="J9" i="2"/>
  <c r="K9" i="2" s="1"/>
  <c r="L9" i="2"/>
  <c r="M9" i="2" s="1"/>
  <c r="J8" i="2"/>
  <c r="K8" i="2" s="1"/>
  <c r="L8" i="2"/>
  <c r="M8" i="2" s="1"/>
  <c r="L47" i="2"/>
  <c r="M47" i="2" s="1"/>
  <c r="J47" i="2"/>
  <c r="K47" i="2" s="1"/>
  <c r="J6" i="2"/>
  <c r="K6" i="2" s="1"/>
  <c r="L6" i="2"/>
  <c r="M6" i="2" s="1"/>
  <c r="J76" i="2"/>
  <c r="K76" i="2" s="1"/>
  <c r="L76" i="2"/>
  <c r="M76" i="2" s="1"/>
  <c r="J75" i="2"/>
  <c r="K75" i="2" s="1"/>
  <c r="L75" i="2"/>
  <c r="M75" i="2" s="1"/>
  <c r="J74" i="2"/>
  <c r="K74" i="2" s="1"/>
  <c r="L74" i="2"/>
  <c r="M74" i="2" s="1"/>
  <c r="J73" i="2"/>
  <c r="K73" i="2" s="1"/>
  <c r="L73" i="2"/>
  <c r="M73" i="2" s="1"/>
  <c r="J72" i="2"/>
  <c r="K72" i="2" s="1"/>
  <c r="L72" i="2"/>
  <c r="M72" i="2" s="1"/>
  <c r="J40" i="2"/>
  <c r="K40" i="2" s="1"/>
  <c r="L40" i="2"/>
  <c r="M40" i="2" s="1"/>
  <c r="J87" i="2"/>
  <c r="K87" i="2" s="1"/>
  <c r="L87" i="2"/>
  <c r="M87" i="2" s="1"/>
  <c r="J71" i="2"/>
  <c r="K71" i="2" s="1"/>
  <c r="L71" i="2"/>
  <c r="M71" i="2" s="1"/>
  <c r="J55" i="2"/>
  <c r="K55" i="2" s="1"/>
  <c r="L55" i="2"/>
  <c r="M55" i="2" s="1"/>
  <c r="J39" i="2"/>
  <c r="K39" i="2" s="1"/>
  <c r="L39" i="2"/>
  <c r="M39" i="2" s="1"/>
  <c r="J23" i="2"/>
  <c r="K23" i="2" s="1"/>
  <c r="L23" i="2"/>
  <c r="M23" i="2" s="1"/>
  <c r="J7" i="2"/>
  <c r="K7" i="2" s="1"/>
  <c r="L7" i="2"/>
  <c r="M7" i="2" s="1"/>
  <c r="M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<sst xmlns="http://schemas.openxmlformats.org/spreadsheetml/2006/main" count="14" uniqueCount="14">
  <si>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patientID</t>
  </si>
  <si>
    <t>gene1</t>
  </si>
  <si>
    <t>gene2</t>
  </si>
  <si>
    <t>gene3</t>
  </si>
  <si>
    <t>gene4</t>
  </si>
  <si>
    <t>gene5</t>
  </si>
  <si>
    <t>5-year survival</t>
  </si>
  <si>
    <t>m1x1+m2x2+…+b</t>
  </si>
  <si>
    <t xml:space="preserve"> P(1)</t>
  </si>
  <si>
    <t>Outcome</t>
  </si>
  <si>
    <t xml:space="preserve"> Difference</t>
  </si>
  <si>
    <t>Likelihood</t>
  </si>
  <si>
    <t>Ln(Likelihood)</t>
  </si>
  <si>
    <t>0+G39G6:G80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</si>
</sst>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92"/>
  <sheetViews>
    <sheetView tabSelected="1" zoomScale="85" zoomScaleNormal="85" workbookViewId="0">
      <selection activeCell="K3" sqref="K3"/>
    </sheetView>
  </sheetViews>
  <sheetFormatPr defaultRowHeight="14.4" x14ac:dyDescent="0.3"/>
  <cols>
    <col min="2" max="2" width="12" bestFit="1" customWidth="1"/>
    <col min="7" max="7" width="14" bestFit="1" customWidth="1"/>
    <col min="8" max="8" width="16.5546875" customWidth="1"/>
    <col min="11" max="11" width="17.21875" customWidth="1"/>
    <col min="12" max="12" width="12" customWidth="1"/>
    <col min="13" max="13" width="13.21875" customWidth="1"/>
  </cols>
  <sheetData>
    <row r="1" spans="1:13" x14ac:dyDescent="0.3">
      <c r="M1">
        <f>SUM(M6:M92)</f>
        <v>-28.721089328588359</v>
      </c>
    </row>
    <row r="2" spans="1:13" x14ac:dyDescent="0.3">
      <c r="K2">
        <f>SUM(K6:K92)</f>
        <v>13</v>
      </c>
    </row>
    <row r="3" spans="1:13" x14ac:dyDescent="0.3">
      <c r="B3" t="e" cm="1">
        <f t="array" ref="B3:G3">INDEX(LINEST($G$6:$G$92,$B$6:$F$92),1,B1)</f>
        <v>#VALUE!</v>
      </c>
      <c r="C3" t="e">
        <v>#VALUE!</v>
      </c>
      <c r="D3" t="e">
        <v>#VALUE!</v>
      </c>
      <c r="E3" t="e">
        <v>#VALUE!</v>
      </c>
      <c r="F3" t="e">
        <v>#VALUE!</v>
      </c>
      <c r="G3" t="e">
        <v>#VALUE!</v>
      </c>
      <c r="K3">
        <f>SUM(K6:K92)</f>
        <v>13</v>
      </c>
    </row>
    <row r="4" spans="1:13" x14ac:dyDescent="0.3">
      <c r="B4">
        <v>-2.0320040230395648E-2</v>
      </c>
      <c r="C4">
        <v>-7.9398363022275004E-3</v>
      </c>
      <c r="D4">
        <v>-9.7139607862145746E-2</v>
      </c>
      <c r="E4">
        <v>-1.0731732077790644E-2</v>
      </c>
      <c r="F4">
        <v>-3.7994085792191603E-3</v>
      </c>
      <c r="G4">
        <v>4.2230808062804455</v>
      </c>
    </row>
    <row r="5" spans="1:13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t="s">
        <v>7</v>
      </c>
      <c r="I5" t="s">
        <v>8</v>
      </c>
      <c r="J5" t="s">
        <v>9</v>
      </c>
      <c r="K5" s="2" t="s">
        <v>10</v>
      </c>
      <c r="L5" t="s">
        <v>11</v>
      </c>
      <c r="M5" s="2" t="s">
        <v>12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 t="s">
        <v>13</v>
      </c>
      <c r="H6">
        <f>SUMPRODUCT($B$4:$F$4,B6:F6)+$G$4</f>
        <v>-35.675308369860005</v>
      </c>
      <c r="I6">
        <f>1/(1+EXP(0-H6))</f>
        <v>3.2093008768419429E-16</v>
      </c>
      <c r="J6">
        <f>IF(I6&gt;0.5,1,0)</f>
        <v>0</v>
      </c>
      <c r="K6">
        <f>IF(G6=J6,0,1)</f>
        <v>1</v>
      </c>
      <c r="L6">
        <f>IF(G6=1,I6,1-I6)</f>
        <v>0.99999999999999967</v>
      </c>
      <c r="M6">
        <f>IF(L6=0,-1000000,LN(L6))</f>
        <v>-3.3306690738754701E-16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SUMPRODUCT($B$4:$F$4,B7:F7)+$G$4</f>
        <v>-2.1260062591199445</v>
      </c>
      <c r="I7">
        <f t="shared" ref="I7:I70" si="1">1/(1+EXP(0-H7))</f>
        <v>0.10659472764135579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0.8934052723586442</v>
      </c>
      <c r="M7">
        <f t="shared" ref="M7:M70" si="5">IF(L7=0,-1000000,LN(L7))</f>
        <v>-0.11271496862793455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-0.64296945201401989</v>
      </c>
      <c r="I8">
        <f t="shared" si="1"/>
        <v>0.34457559952036748</v>
      </c>
      <c r="J8">
        <f t="shared" si="2"/>
        <v>0</v>
      </c>
      <c r="K8">
        <f t="shared" si="3"/>
        <v>1</v>
      </c>
      <c r="L8">
        <f t="shared" si="4"/>
        <v>0.34457559952036748</v>
      </c>
      <c r="M8">
        <f t="shared" si="5"/>
        <v>-1.0654417655196178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2.0493536038605278</v>
      </c>
      <c r="I9">
        <f t="shared" si="1"/>
        <v>0.88588228769093225</v>
      </c>
      <c r="J9">
        <f t="shared" si="2"/>
        <v>1</v>
      </c>
      <c r="K9">
        <f t="shared" si="3"/>
        <v>0</v>
      </c>
      <c r="L9">
        <f t="shared" si="4"/>
        <v>0.88588228769093225</v>
      </c>
      <c r="M9">
        <f t="shared" si="5"/>
        <v>-0.12117119534012545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-4.9879317601474673</v>
      </c>
      <c r="I10">
        <f t="shared" si="1"/>
        <v>6.7735607811238805E-3</v>
      </c>
      <c r="J10">
        <f t="shared" si="2"/>
        <v>0</v>
      </c>
      <c r="K10">
        <f t="shared" si="3"/>
        <v>0</v>
      </c>
      <c r="L10">
        <f t="shared" si="4"/>
        <v>0.9932264392188761</v>
      </c>
      <c r="M10">
        <f t="shared" si="5"/>
        <v>-6.796605465953523E-3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-6.9289699982548703</v>
      </c>
      <c r="I11">
        <f t="shared" si="1"/>
        <v>9.7805120928482511E-4</v>
      </c>
      <c r="J11">
        <f t="shared" si="2"/>
        <v>0</v>
      </c>
      <c r="K11">
        <f t="shared" si="3"/>
        <v>0</v>
      </c>
      <c r="L11">
        <f t="shared" si="4"/>
        <v>0.99902194879071515</v>
      </c>
      <c r="M11">
        <f t="shared" si="5"/>
        <v>-9.785298134605486E-4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0.39280703289407226</v>
      </c>
      <c r="I12">
        <f t="shared" si="1"/>
        <v>0.59695825229552923</v>
      </c>
      <c r="J12">
        <f t="shared" si="2"/>
        <v>1</v>
      </c>
      <c r="K12">
        <f t="shared" si="3"/>
        <v>1</v>
      </c>
      <c r="L12">
        <f t="shared" si="4"/>
        <v>0.40304174770447077</v>
      </c>
      <c r="M12">
        <f t="shared" si="5"/>
        <v>-0.90871513008198179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0.27974202766616241</v>
      </c>
      <c r="I13">
        <f t="shared" si="1"/>
        <v>0.56948297745033682</v>
      </c>
      <c r="J13">
        <f t="shared" si="2"/>
        <v>1</v>
      </c>
      <c r="K13">
        <f t="shared" si="3"/>
        <v>0</v>
      </c>
      <c r="L13">
        <f t="shared" si="4"/>
        <v>0.56948297745033682</v>
      </c>
      <c r="M13">
        <f t="shared" si="5"/>
        <v>-0.56302638688343953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-2.4429594631426816</v>
      </c>
      <c r="I14">
        <f t="shared" si="1"/>
        <v>7.9954936908393878E-2</v>
      </c>
      <c r="J14">
        <f t="shared" si="2"/>
        <v>0</v>
      </c>
      <c r="K14">
        <f t="shared" si="3"/>
        <v>0</v>
      </c>
      <c r="L14">
        <f t="shared" si="4"/>
        <v>0.92004506309160616</v>
      </c>
      <c r="M14">
        <f t="shared" si="5"/>
        <v>-8.3332628517300458E-2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-30.484668111371921</v>
      </c>
      <c r="I15">
        <f t="shared" si="1"/>
        <v>5.7633747114348093E-14</v>
      </c>
      <c r="J15">
        <f t="shared" si="2"/>
        <v>0</v>
      </c>
      <c r="K15">
        <f t="shared" si="3"/>
        <v>0</v>
      </c>
      <c r="L15">
        <f t="shared" si="4"/>
        <v>0.99999999999994238</v>
      </c>
      <c r="M15">
        <f t="shared" si="5"/>
        <v>-5.7620574978047291E-14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-4.5702134391104599</v>
      </c>
      <c r="I16">
        <f t="shared" si="1"/>
        <v>1.0249606802787047E-2</v>
      </c>
      <c r="J16">
        <f t="shared" si="2"/>
        <v>0</v>
      </c>
      <c r="K16">
        <f t="shared" si="3"/>
        <v>0</v>
      </c>
      <c r="L16">
        <f t="shared" si="4"/>
        <v>0.98975039319721292</v>
      </c>
      <c r="M16">
        <f t="shared" si="5"/>
        <v>-1.0302495726753515E-2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0.51146127144913267</v>
      </c>
      <c r="I17">
        <f t="shared" si="1"/>
        <v>0.62514896808431841</v>
      </c>
      <c r="J17">
        <f t="shared" si="2"/>
        <v>1</v>
      </c>
      <c r="K17">
        <f t="shared" si="3"/>
        <v>0</v>
      </c>
      <c r="L17">
        <f t="shared" si="4"/>
        <v>0.62514896808431841</v>
      </c>
      <c r="M17">
        <f t="shared" si="5"/>
        <v>-0.46976530871142075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1.4236568892498331</v>
      </c>
      <c r="I18">
        <f t="shared" si="1"/>
        <v>0.80591106122636669</v>
      </c>
      <c r="J18">
        <f t="shared" si="2"/>
        <v>1</v>
      </c>
      <c r="K18">
        <f t="shared" si="3"/>
        <v>0</v>
      </c>
      <c r="L18">
        <f t="shared" si="4"/>
        <v>0.80591106122636669</v>
      </c>
      <c r="M18">
        <f t="shared" si="5"/>
        <v>-0.2157818884370567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-2.3988880857053081</v>
      </c>
      <c r="I19">
        <f t="shared" si="1"/>
        <v>8.3257524824585524E-2</v>
      </c>
      <c r="J19">
        <f t="shared" si="2"/>
        <v>0</v>
      </c>
      <c r="K19">
        <f t="shared" si="3"/>
        <v>0</v>
      </c>
      <c r="L19">
        <f t="shared" si="4"/>
        <v>0.91674247517541452</v>
      </c>
      <c r="M19">
        <f t="shared" si="5"/>
        <v>-8.6928680217740778E-2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-36.617285507564837</v>
      </c>
      <c r="I20">
        <f t="shared" si="1"/>
        <v>1.2511660798409652E-16</v>
      </c>
      <c r="J20">
        <f t="shared" si="2"/>
        <v>0</v>
      </c>
      <c r="K20">
        <f t="shared" si="3"/>
        <v>0</v>
      </c>
      <c r="L20">
        <f t="shared" si="4"/>
        <v>0.99999999999999989</v>
      </c>
      <c r="M20">
        <f t="shared" si="5"/>
        <v>-1.1102230246251565E-16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-13.874866823652905</v>
      </c>
      <c r="I21">
        <f t="shared" si="1"/>
        <v>9.4237008683812934E-7</v>
      </c>
      <c r="J21">
        <f t="shared" si="2"/>
        <v>0</v>
      </c>
      <c r="K21">
        <f t="shared" si="3"/>
        <v>0</v>
      </c>
      <c r="L21">
        <f t="shared" si="4"/>
        <v>0.99999905762991315</v>
      </c>
      <c r="M21">
        <f t="shared" si="5"/>
        <v>-9.4237053088479686E-7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-6.0288573195004505</v>
      </c>
      <c r="I22">
        <f t="shared" si="1"/>
        <v>2.4024585537046751E-3</v>
      </c>
      <c r="J22">
        <f t="shared" si="2"/>
        <v>0</v>
      </c>
      <c r="K22">
        <f t="shared" si="3"/>
        <v>0</v>
      </c>
      <c r="L22">
        <f t="shared" si="4"/>
        <v>0.99759754144629531</v>
      </c>
      <c r="M22">
        <f t="shared" si="5"/>
        <v>-2.4053490877760835E-3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-8.1943194709943263</v>
      </c>
      <c r="I23">
        <f t="shared" si="1"/>
        <v>2.7614191184420744E-4</v>
      </c>
      <c r="J23">
        <f t="shared" si="2"/>
        <v>0</v>
      </c>
      <c r="K23">
        <f t="shared" si="3"/>
        <v>0</v>
      </c>
      <c r="L23">
        <f t="shared" si="4"/>
        <v>0.99972385808815578</v>
      </c>
      <c r="M23">
        <f t="shared" si="5"/>
        <v>-2.7618004604241912E-4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1.5182250206861809</v>
      </c>
      <c r="I24">
        <f t="shared" si="1"/>
        <v>0.82027695714256466</v>
      </c>
      <c r="J24">
        <f t="shared" si="2"/>
        <v>1</v>
      </c>
      <c r="K24">
        <f t="shared" si="3"/>
        <v>0</v>
      </c>
      <c r="L24">
        <f t="shared" si="4"/>
        <v>0.82027695714256466</v>
      </c>
      <c r="M24">
        <f t="shared" si="5"/>
        <v>-0.19811324313652828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-4.4380958075488648</v>
      </c>
      <c r="I25">
        <f t="shared" si="1"/>
        <v>1.1680378023564952E-2</v>
      </c>
      <c r="J25">
        <f t="shared" si="2"/>
        <v>0</v>
      </c>
      <c r="K25">
        <f t="shared" si="3"/>
        <v>0</v>
      </c>
      <c r="L25">
        <f t="shared" si="4"/>
        <v>0.98831962197643508</v>
      </c>
      <c r="M25">
        <f t="shared" si="5"/>
        <v>-1.1749129525681698E-2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-2.5297877907744235</v>
      </c>
      <c r="I26">
        <f t="shared" si="1"/>
        <v>7.3796149850260728E-2</v>
      </c>
      <c r="J26">
        <f t="shared" si="2"/>
        <v>0</v>
      </c>
      <c r="K26">
        <f t="shared" si="3"/>
        <v>0</v>
      </c>
      <c r="L26">
        <f t="shared" si="4"/>
        <v>0.92620385014973927</v>
      </c>
      <c r="M26">
        <f t="shared" si="5"/>
        <v>-7.6660928012858717E-2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-4.1744662904932825</v>
      </c>
      <c r="I27">
        <f t="shared" si="1"/>
        <v>1.5150336055541051E-2</v>
      </c>
      <c r="J27">
        <f t="shared" si="2"/>
        <v>0</v>
      </c>
      <c r="K27">
        <f t="shared" si="3"/>
        <v>0</v>
      </c>
      <c r="L27">
        <f t="shared" si="4"/>
        <v>0.98484966394445894</v>
      </c>
      <c r="M27">
        <f t="shared" si="5"/>
        <v>-1.5266274895592964E-2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0.56668324025520667</v>
      </c>
      <c r="I28">
        <f t="shared" si="1"/>
        <v>0.63799749845089593</v>
      </c>
      <c r="J28">
        <f t="shared" si="2"/>
        <v>1</v>
      </c>
      <c r="K28">
        <f t="shared" si="3"/>
        <v>1</v>
      </c>
      <c r="L28">
        <f t="shared" si="4"/>
        <v>0.36200250154910407</v>
      </c>
      <c r="M28">
        <f t="shared" si="5"/>
        <v>-1.0161041568236013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-3.5748369094505756</v>
      </c>
      <c r="I29">
        <f t="shared" si="1"/>
        <v>2.7256274516928542E-2</v>
      </c>
      <c r="J29">
        <f t="shared" si="2"/>
        <v>0</v>
      </c>
      <c r="K29">
        <f t="shared" si="3"/>
        <v>0</v>
      </c>
      <c r="L29">
        <f t="shared" si="4"/>
        <v>0.97274372548307142</v>
      </c>
      <c r="M29">
        <f t="shared" si="5"/>
        <v>-2.7634617425533605E-2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-5.8121460917429646</v>
      </c>
      <c r="I30">
        <f t="shared" si="1"/>
        <v>2.9820847819709492E-3</v>
      </c>
      <c r="J30">
        <f t="shared" si="2"/>
        <v>0</v>
      </c>
      <c r="K30">
        <f t="shared" si="3"/>
        <v>0</v>
      </c>
      <c r="L30">
        <f t="shared" si="4"/>
        <v>0.99701791521802907</v>
      </c>
      <c r="M30">
        <f t="shared" si="5"/>
        <v>-2.9865400563362345E-3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-2.0591487081442654</v>
      </c>
      <c r="I31">
        <f t="shared" si="1"/>
        <v>0.11313121422302916</v>
      </c>
      <c r="J31">
        <f t="shared" si="2"/>
        <v>0</v>
      </c>
      <c r="K31">
        <f t="shared" si="3"/>
        <v>0</v>
      </c>
      <c r="L31">
        <f t="shared" si="4"/>
        <v>0.88686878577697081</v>
      </c>
      <c r="M31">
        <f t="shared" si="5"/>
        <v>-0.12005823796823917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-17.1845789815074</v>
      </c>
      <c r="I32">
        <f t="shared" si="1"/>
        <v>3.442168766202475E-8</v>
      </c>
      <c r="J32">
        <f t="shared" si="2"/>
        <v>0</v>
      </c>
      <c r="K32">
        <f t="shared" si="3"/>
        <v>0</v>
      </c>
      <c r="L32">
        <f t="shared" si="4"/>
        <v>0.99999996557831239</v>
      </c>
      <c r="M32">
        <f t="shared" si="5"/>
        <v>-3.4421688203789743E-8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0.53579642005035888</v>
      </c>
      <c r="I33">
        <f t="shared" si="1"/>
        <v>0.63083401722974575</v>
      </c>
      <c r="J33">
        <f t="shared" si="2"/>
        <v>1</v>
      </c>
      <c r="K33">
        <f t="shared" si="3"/>
        <v>0</v>
      </c>
      <c r="L33">
        <f t="shared" si="4"/>
        <v>0.63083401722974575</v>
      </c>
      <c r="M33">
        <f t="shared" si="5"/>
        <v>-0.46071249822338523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-2.3400596402307752</v>
      </c>
      <c r="I34">
        <f t="shared" si="1"/>
        <v>8.7859135149238488E-2</v>
      </c>
      <c r="J34">
        <f t="shared" si="2"/>
        <v>0</v>
      </c>
      <c r="K34">
        <f t="shared" si="3"/>
        <v>1</v>
      </c>
      <c r="L34">
        <f t="shared" si="4"/>
        <v>8.7859135149238488E-2</v>
      </c>
      <c r="M34">
        <f t="shared" si="5"/>
        <v>-2.4320204839926429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-3.2437422750471612</v>
      </c>
      <c r="I35">
        <f t="shared" si="1"/>
        <v>3.7552402064673619E-2</v>
      </c>
      <c r="J35">
        <f t="shared" si="2"/>
        <v>0</v>
      </c>
      <c r="K35">
        <f t="shared" si="3"/>
        <v>0</v>
      </c>
      <c r="L35">
        <f t="shared" si="4"/>
        <v>0.96244759793532642</v>
      </c>
      <c r="M35">
        <f t="shared" si="5"/>
        <v>-3.8275658005866957E-2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-12.399714794208954</v>
      </c>
      <c r="I36">
        <f t="shared" si="1"/>
        <v>4.1197465480282473E-6</v>
      </c>
      <c r="J36">
        <f t="shared" si="2"/>
        <v>0</v>
      </c>
      <c r="K36">
        <f t="shared" si="3"/>
        <v>0</v>
      </c>
      <c r="L36">
        <f t="shared" si="4"/>
        <v>0.99999588025345199</v>
      </c>
      <c r="M36">
        <f t="shared" si="5"/>
        <v>-4.1197550341938419E-6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-4.2891843886519299</v>
      </c>
      <c r="I37">
        <f t="shared" si="1"/>
        <v>1.3530521656658355E-2</v>
      </c>
      <c r="J37">
        <f t="shared" si="2"/>
        <v>0</v>
      </c>
      <c r="K37">
        <f t="shared" si="3"/>
        <v>0</v>
      </c>
      <c r="L37">
        <f t="shared" si="4"/>
        <v>0.98646947834334164</v>
      </c>
      <c r="M37">
        <f t="shared" si="5"/>
        <v>-1.362289333581574E-2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1.8225076519061614</v>
      </c>
      <c r="I38">
        <f t="shared" si="1"/>
        <v>0.86086675340029883</v>
      </c>
      <c r="J38">
        <f t="shared" si="2"/>
        <v>1</v>
      </c>
      <c r="K38">
        <f t="shared" si="3"/>
        <v>0</v>
      </c>
      <c r="L38">
        <f t="shared" si="4"/>
        <v>0.86086675340029883</v>
      </c>
      <c r="M38">
        <f t="shared" si="5"/>
        <v>-0.14981554448617249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-0.97233706633382422</v>
      </c>
      <c r="I39">
        <f t="shared" si="1"/>
        <v>0.27441492048006072</v>
      </c>
      <c r="J39">
        <f t="shared" si="2"/>
        <v>0</v>
      </c>
      <c r="K39">
        <f t="shared" si="3"/>
        <v>0</v>
      </c>
      <c r="L39">
        <f t="shared" si="4"/>
        <v>0.72558507951993922</v>
      </c>
      <c r="M39">
        <f t="shared" si="5"/>
        <v>-0.32077694334751045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-2.254788025749705</v>
      </c>
      <c r="I40">
        <f t="shared" si="1"/>
        <v>9.4937259066887103E-2</v>
      </c>
      <c r="J40">
        <f t="shared" si="2"/>
        <v>0</v>
      </c>
      <c r="K40">
        <f t="shared" si="3"/>
        <v>0</v>
      </c>
      <c r="L40">
        <f t="shared" si="4"/>
        <v>0.9050627409331129</v>
      </c>
      <c r="M40">
        <f t="shared" si="5"/>
        <v>-9.9751010687301384E-2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-0.65482962776780163</v>
      </c>
      <c r="I41">
        <f t="shared" si="1"/>
        <v>0.34190201852827451</v>
      </c>
      <c r="J41">
        <f t="shared" si="2"/>
        <v>0</v>
      </c>
      <c r="K41">
        <f t="shared" si="3"/>
        <v>0</v>
      </c>
      <c r="L41">
        <f t="shared" si="4"/>
        <v>0.65809798147172549</v>
      </c>
      <c r="M41">
        <f t="shared" si="5"/>
        <v>-0.4184014507307765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-11.715948295041574</v>
      </c>
      <c r="I42">
        <f t="shared" si="1"/>
        <v>8.1625294320478771E-6</v>
      </c>
      <c r="J42">
        <f t="shared" si="2"/>
        <v>0</v>
      </c>
      <c r="K42">
        <f t="shared" si="3"/>
        <v>0</v>
      </c>
      <c r="L42">
        <f t="shared" si="4"/>
        <v>0.99999183747056797</v>
      </c>
      <c r="M42">
        <f t="shared" si="5"/>
        <v>-8.1625627456566422E-6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-0.47250363124896477</v>
      </c>
      <c r="I43">
        <f t="shared" si="1"/>
        <v>0.38402383911127619</v>
      </c>
      <c r="J43">
        <f t="shared" si="2"/>
        <v>0</v>
      </c>
      <c r="K43">
        <f t="shared" si="3"/>
        <v>0</v>
      </c>
      <c r="L43">
        <f t="shared" si="4"/>
        <v>0.61597616088872376</v>
      </c>
      <c r="M43">
        <f t="shared" si="5"/>
        <v>-0.48454701605344397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-8.3024749317866089</v>
      </c>
      <c r="I44">
        <f t="shared" si="1"/>
        <v>2.47841084973143E-4</v>
      </c>
      <c r="J44">
        <f t="shared" si="2"/>
        <v>0</v>
      </c>
      <c r="K44">
        <f t="shared" si="3"/>
        <v>0</v>
      </c>
      <c r="L44">
        <f t="shared" si="4"/>
        <v>0.99975215891502689</v>
      </c>
      <c r="M44">
        <f t="shared" si="5"/>
        <v>-2.4787180265031734E-4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-13.376808078450718</v>
      </c>
      <c r="I45">
        <f t="shared" si="1"/>
        <v>1.5506914509104699E-6</v>
      </c>
      <c r="J45">
        <f t="shared" si="2"/>
        <v>0</v>
      </c>
      <c r="K45">
        <f t="shared" si="3"/>
        <v>0</v>
      </c>
      <c r="L45">
        <f t="shared" si="4"/>
        <v>0.99999844930854909</v>
      </c>
      <c r="M45">
        <f t="shared" si="5"/>
        <v>-1.550692653236586E-6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-1.7738274608872961</v>
      </c>
      <c r="I46">
        <f t="shared" si="1"/>
        <v>0.1450669922784491</v>
      </c>
      <c r="J46">
        <f t="shared" si="2"/>
        <v>0</v>
      </c>
      <c r="K46">
        <f t="shared" si="3"/>
        <v>0</v>
      </c>
      <c r="L46">
        <f t="shared" si="4"/>
        <v>0.8549330077215509</v>
      </c>
      <c r="M46">
        <f t="shared" si="5"/>
        <v>-0.1567321666572217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-7.491013877094816</v>
      </c>
      <c r="I47">
        <f t="shared" si="1"/>
        <v>5.5776557615124097E-4</v>
      </c>
      <c r="J47">
        <f t="shared" si="2"/>
        <v>0</v>
      </c>
      <c r="K47">
        <f t="shared" si="3"/>
        <v>0</v>
      </c>
      <c r="L47">
        <f t="shared" si="4"/>
        <v>0.99944223442384872</v>
      </c>
      <c r="M47">
        <f t="shared" si="5"/>
        <v>-5.5792118523520138E-4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1.1524995097885631</v>
      </c>
      <c r="I48">
        <f t="shared" si="1"/>
        <v>0.75996716643614892</v>
      </c>
      <c r="J48">
        <f t="shared" si="2"/>
        <v>1</v>
      </c>
      <c r="K48">
        <f t="shared" si="3"/>
        <v>0</v>
      </c>
      <c r="L48">
        <f t="shared" si="4"/>
        <v>0.75996716643614892</v>
      </c>
      <c r="M48">
        <f t="shared" si="5"/>
        <v>-0.27448004869269482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0.67210525276355559</v>
      </c>
      <c r="I49">
        <f t="shared" si="1"/>
        <v>0.66197440011837783</v>
      </c>
      <c r="J49">
        <f t="shared" si="2"/>
        <v>1</v>
      </c>
      <c r="K49">
        <f t="shared" si="3"/>
        <v>0</v>
      </c>
      <c r="L49">
        <f t="shared" si="4"/>
        <v>0.66197440011837783</v>
      </c>
      <c r="M49">
        <f t="shared" si="5"/>
        <v>-0.41252839430889809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-15.555925381800073</v>
      </c>
      <c r="I50">
        <f t="shared" si="1"/>
        <v>1.7544757488887837E-7</v>
      </c>
      <c r="J50">
        <f t="shared" si="2"/>
        <v>0</v>
      </c>
      <c r="K50">
        <f t="shared" si="3"/>
        <v>0</v>
      </c>
      <c r="L50">
        <f t="shared" si="4"/>
        <v>0.99999982455242509</v>
      </c>
      <c r="M50">
        <f t="shared" si="5"/>
        <v>-1.7544759030365135E-7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-7.456976432850837E-2</v>
      </c>
      <c r="I51">
        <f t="shared" si="1"/>
        <v>0.48136619279069215</v>
      </c>
      <c r="J51">
        <f t="shared" si="2"/>
        <v>0</v>
      </c>
      <c r="K51">
        <f t="shared" si="3"/>
        <v>1</v>
      </c>
      <c r="L51">
        <f t="shared" si="4"/>
        <v>0.48136619279069215</v>
      </c>
      <c r="M51">
        <f t="shared" si="5"/>
        <v>-0.7311269829569097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-0.6785060019241973</v>
      </c>
      <c r="I52">
        <f t="shared" si="1"/>
        <v>0.33659482901377402</v>
      </c>
      <c r="J52">
        <f t="shared" si="2"/>
        <v>0</v>
      </c>
      <c r="K52">
        <f t="shared" si="3"/>
        <v>0</v>
      </c>
      <c r="L52">
        <f t="shared" si="4"/>
        <v>0.66340517098622598</v>
      </c>
      <c r="M52">
        <f t="shared" si="5"/>
        <v>-0.4103693578263255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-9.1542681963572576</v>
      </c>
      <c r="I53">
        <f t="shared" si="1"/>
        <v>1.0575621636563322E-4</v>
      </c>
      <c r="J53">
        <f t="shared" si="2"/>
        <v>0</v>
      </c>
      <c r="K53">
        <f t="shared" si="3"/>
        <v>0</v>
      </c>
      <c r="L53">
        <f t="shared" si="4"/>
        <v>0.99989424378363434</v>
      </c>
      <c r="M53">
        <f t="shared" si="5"/>
        <v>-1.0576180894861376E-4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-6.4968368990921599</v>
      </c>
      <c r="I54">
        <f t="shared" si="1"/>
        <v>1.5059310033699923E-3</v>
      </c>
      <c r="J54">
        <f t="shared" si="2"/>
        <v>0</v>
      </c>
      <c r="K54">
        <f t="shared" si="3"/>
        <v>0</v>
      </c>
      <c r="L54">
        <f t="shared" si="4"/>
        <v>0.99849406899662996</v>
      </c>
      <c r="M54">
        <f t="shared" si="5"/>
        <v>-1.5070660571484024E-3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-0.92766827328024615</v>
      </c>
      <c r="I55">
        <f t="shared" si="1"/>
        <v>0.28339801065688236</v>
      </c>
      <c r="J55">
        <f t="shared" si="2"/>
        <v>0</v>
      </c>
      <c r="K55">
        <f t="shared" si="3"/>
        <v>0</v>
      </c>
      <c r="L55">
        <f t="shared" si="4"/>
        <v>0.7166019893431177</v>
      </c>
      <c r="M55">
        <f t="shared" si="5"/>
        <v>-0.33323469802929029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-0.56860509213285404</v>
      </c>
      <c r="I56">
        <f t="shared" si="1"/>
        <v>0.36155875482294753</v>
      </c>
      <c r="J56">
        <f t="shared" si="2"/>
        <v>0</v>
      </c>
      <c r="K56">
        <f t="shared" si="3"/>
        <v>0</v>
      </c>
      <c r="L56">
        <f t="shared" si="4"/>
        <v>0.63844124517705247</v>
      </c>
      <c r="M56">
        <f t="shared" si="5"/>
        <v>-0.44872562782657549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-2.4598060367188701E-2</v>
      </c>
      <c r="I57">
        <f t="shared" si="1"/>
        <v>0.49385079496058665</v>
      </c>
      <c r="J57">
        <f t="shared" si="2"/>
        <v>0</v>
      </c>
      <c r="K57">
        <f t="shared" si="3"/>
        <v>0</v>
      </c>
      <c r="L57">
        <f t="shared" si="4"/>
        <v>0.50614920503941341</v>
      </c>
      <c r="M57">
        <f t="shared" si="5"/>
        <v>-0.68092378154136901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0.50935059544799843</v>
      </c>
      <c r="I58">
        <f t="shared" si="1"/>
        <v>0.62465422654745817</v>
      </c>
      <c r="J58">
        <f t="shared" si="2"/>
        <v>1</v>
      </c>
      <c r="K58">
        <f t="shared" si="3"/>
        <v>0</v>
      </c>
      <c r="L58">
        <f t="shared" si="4"/>
        <v>0.62465422654745817</v>
      </c>
      <c r="M58">
        <f t="shared" si="5"/>
        <v>-0.47055701986214837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0.2879415462460253</v>
      </c>
      <c r="I59">
        <f t="shared" si="1"/>
        <v>0.57149211485318319</v>
      </c>
      <c r="J59">
        <f t="shared" si="2"/>
        <v>1</v>
      </c>
      <c r="K59">
        <f t="shared" si="3"/>
        <v>0</v>
      </c>
      <c r="L59">
        <f t="shared" si="4"/>
        <v>0.57149211485318319</v>
      </c>
      <c r="M59">
        <f t="shared" si="5"/>
        <v>-0.55950459312472423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-4.0790727373289437</v>
      </c>
      <c r="I60">
        <f t="shared" si="1"/>
        <v>1.6641523575924286E-2</v>
      </c>
      <c r="J60">
        <f t="shared" si="2"/>
        <v>0</v>
      </c>
      <c r="K60">
        <f t="shared" si="3"/>
        <v>0</v>
      </c>
      <c r="L60">
        <f t="shared" si="4"/>
        <v>0.9833584764240757</v>
      </c>
      <c r="M60">
        <f t="shared" si="5"/>
        <v>-1.6781549398446057E-2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-0.27445866827712262</v>
      </c>
      <c r="I61">
        <f t="shared" si="1"/>
        <v>0.43181282763023066</v>
      </c>
      <c r="J61">
        <f t="shared" si="2"/>
        <v>0</v>
      </c>
      <c r="K61">
        <f t="shared" si="3"/>
        <v>0</v>
      </c>
      <c r="L61">
        <f t="shared" si="4"/>
        <v>0.56818717236976934</v>
      </c>
      <c r="M61">
        <f t="shared" si="5"/>
        <v>-0.56530438572366604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0.72013478406880749</v>
      </c>
      <c r="I62">
        <f t="shared" si="1"/>
        <v>0.67263669674809068</v>
      </c>
      <c r="J62">
        <f t="shared" si="2"/>
        <v>1</v>
      </c>
      <c r="K62">
        <f t="shared" si="3"/>
        <v>0</v>
      </c>
      <c r="L62">
        <f t="shared" si="4"/>
        <v>0.67263669674809068</v>
      </c>
      <c r="M62">
        <f t="shared" si="5"/>
        <v>-0.39654992162207514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1.2473826964764356</v>
      </c>
      <c r="I63">
        <f t="shared" si="1"/>
        <v>0.77684646459935813</v>
      </c>
      <c r="J63">
        <f t="shared" si="2"/>
        <v>1</v>
      </c>
      <c r="K63">
        <f t="shared" si="3"/>
        <v>0</v>
      </c>
      <c r="L63">
        <f t="shared" si="4"/>
        <v>0.77684646459935813</v>
      </c>
      <c r="M63">
        <f t="shared" si="5"/>
        <v>-0.25251254839821918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-7.7599859454623221E-2</v>
      </c>
      <c r="I64">
        <f t="shared" si="1"/>
        <v>0.48060976440344738</v>
      </c>
      <c r="J64">
        <f t="shared" si="2"/>
        <v>0</v>
      </c>
      <c r="K64">
        <f t="shared" si="3"/>
        <v>0</v>
      </c>
      <c r="L64">
        <f t="shared" si="4"/>
        <v>0.51939023559655262</v>
      </c>
      <c r="M64">
        <f t="shared" si="5"/>
        <v>-0.65509977932074148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0.39744577077331522</v>
      </c>
      <c r="I65">
        <f t="shared" si="1"/>
        <v>0.59807382469733117</v>
      </c>
      <c r="J65">
        <f t="shared" si="2"/>
        <v>1</v>
      </c>
      <c r="K65">
        <f t="shared" si="3"/>
        <v>1</v>
      </c>
      <c r="L65">
        <f t="shared" si="4"/>
        <v>0.40192617530266883</v>
      </c>
      <c r="M65">
        <f t="shared" si="5"/>
        <v>-0.91148685075335245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0.52186606668948565</v>
      </c>
      <c r="I66">
        <f t="shared" si="1"/>
        <v>0.62758401148394094</v>
      </c>
      <c r="J66">
        <f t="shared" si="2"/>
        <v>1</v>
      </c>
      <c r="K66">
        <f t="shared" si="3"/>
        <v>0</v>
      </c>
      <c r="L66">
        <f t="shared" si="4"/>
        <v>0.62758401148394094</v>
      </c>
      <c r="M66">
        <f t="shared" si="5"/>
        <v>-0.46587773409477229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2.3042968526591654</v>
      </c>
      <c r="I67">
        <f t="shared" si="1"/>
        <v>0.90923227780170401</v>
      </c>
      <c r="J67">
        <f t="shared" si="2"/>
        <v>1</v>
      </c>
      <c r="K67">
        <f t="shared" si="3"/>
        <v>0</v>
      </c>
      <c r="L67">
        <f t="shared" si="4"/>
        <v>0.90923227780170401</v>
      </c>
      <c r="M67">
        <f t="shared" si="5"/>
        <v>-9.5154686312190109E-2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1.7330203734305543</v>
      </c>
      <c r="I68">
        <f t="shared" si="1"/>
        <v>0.84979835153266503</v>
      </c>
      <c r="J68">
        <f t="shared" si="2"/>
        <v>1</v>
      </c>
      <c r="K68">
        <f t="shared" si="3"/>
        <v>0</v>
      </c>
      <c r="L68">
        <f t="shared" si="4"/>
        <v>0.84979835153266503</v>
      </c>
      <c r="M68">
        <f t="shared" si="5"/>
        <v>-0.16275619113307313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1.3483159041578485</v>
      </c>
      <c r="I69">
        <f t="shared" si="1"/>
        <v>0.79385416275450482</v>
      </c>
      <c r="J69">
        <f t="shared" si="2"/>
        <v>1</v>
      </c>
      <c r="K69">
        <f t="shared" si="3"/>
        <v>1</v>
      </c>
      <c r="L69">
        <f t="shared" si="4"/>
        <v>0.20614583724549518</v>
      </c>
      <c r="M69">
        <f t="shared" si="5"/>
        <v>-1.5791714128757199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-1.6645859759504038</v>
      </c>
      <c r="I70">
        <f t="shared" si="1"/>
        <v>0.15914734437355302</v>
      </c>
      <c r="J70">
        <f t="shared" si="2"/>
        <v>0</v>
      </c>
      <c r="K70">
        <f t="shared" si="3"/>
        <v>0</v>
      </c>
      <c r="L70">
        <f t="shared" si="4"/>
        <v>0.84085265562644695</v>
      </c>
      <c r="M70">
        <f t="shared" si="5"/>
        <v>-0.17333883575417208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SUMPRODUCT($B$4:$F$4,B71:F71)+$G$4</f>
        <v>-19.833806249227365</v>
      </c>
      <c r="I71">
        <f t="shared" ref="I71:I92" si="7">1/(1+EXP(0-H71))</f>
        <v>2.4338140269173537E-9</v>
      </c>
      <c r="J71">
        <f t="shared" ref="J71:J92" si="8">IF(I71&gt;0.5,1,0)</f>
        <v>0</v>
      </c>
      <c r="K71">
        <f t="shared" ref="K71:K92" si="9">IF(G71=J71,0,1)</f>
        <v>0</v>
      </c>
      <c r="L71">
        <f t="shared" ref="L71:L92" si="10">IF(G71=1,I71,1-I71)</f>
        <v>0.99999999756618596</v>
      </c>
      <c r="M71">
        <f t="shared" ref="M71:M92" si="11">IF(L71=0,-1000000,LN(L71))</f>
        <v>-2.4338140421550194E-9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2.3753334764911047</v>
      </c>
      <c r="I72">
        <f t="shared" si="7"/>
        <v>0.91492691494597245</v>
      </c>
      <c r="J72">
        <f t="shared" si="8"/>
        <v>1</v>
      </c>
      <c r="K72">
        <f t="shared" si="9"/>
        <v>0</v>
      </c>
      <c r="L72">
        <f t="shared" si="10"/>
        <v>0.91492691494597245</v>
      </c>
      <c r="M72">
        <f t="shared" si="11"/>
        <v>-8.8911091272729975E-2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-53.328962775097622</v>
      </c>
      <c r="I73">
        <f t="shared" si="7"/>
        <v>6.9107588908206231E-24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shared" si="11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-0.52796073094175888</v>
      </c>
      <c r="I74">
        <f t="shared" si="7"/>
        <v>0.37099264062245219</v>
      </c>
      <c r="J74">
        <f t="shared" si="8"/>
        <v>0</v>
      </c>
      <c r="K74">
        <f t="shared" si="9"/>
        <v>0</v>
      </c>
      <c r="L74">
        <f t="shared" si="10"/>
        <v>0.62900735937754781</v>
      </c>
      <c r="M74">
        <f t="shared" si="11"/>
        <v>-0.463612322226855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-6.7023025972168329</v>
      </c>
      <c r="I75">
        <f t="shared" si="7"/>
        <v>1.226574536245891E-3</v>
      </c>
      <c r="J75">
        <f t="shared" si="8"/>
        <v>0</v>
      </c>
      <c r="K75">
        <f t="shared" si="9"/>
        <v>0</v>
      </c>
      <c r="L75">
        <f t="shared" si="10"/>
        <v>0.99877342546375414</v>
      </c>
      <c r="M75">
        <f t="shared" si="11"/>
        <v>-1.2273273944798044E-3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0.16519615098888796</v>
      </c>
      <c r="I76">
        <f t="shared" si="7"/>
        <v>0.54120537324956441</v>
      </c>
      <c r="J76">
        <f t="shared" si="8"/>
        <v>1</v>
      </c>
      <c r="K76">
        <f t="shared" si="9"/>
        <v>1</v>
      </c>
      <c r="L76">
        <f t="shared" si="10"/>
        <v>0.45879462675043559</v>
      </c>
      <c r="M76">
        <f t="shared" si="11"/>
        <v>-0.77915260532463093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2.2964204738245444</v>
      </c>
      <c r="I77">
        <f t="shared" si="7"/>
        <v>0.90858014997164138</v>
      </c>
      <c r="J77">
        <f t="shared" si="8"/>
        <v>1</v>
      </c>
      <c r="K77">
        <f t="shared" si="9"/>
        <v>0</v>
      </c>
      <c r="L77">
        <f t="shared" si="10"/>
        <v>0.90858014997164138</v>
      </c>
      <c r="M77">
        <f t="shared" si="11"/>
        <v>-9.5872172723961424E-2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0.81527218904161103</v>
      </c>
      <c r="I78">
        <f t="shared" si="7"/>
        <v>0.69323183648847053</v>
      </c>
      <c r="J78">
        <f t="shared" si="8"/>
        <v>1</v>
      </c>
      <c r="K78">
        <f t="shared" si="9"/>
        <v>0</v>
      </c>
      <c r="L78">
        <f t="shared" si="10"/>
        <v>0.69323183648847053</v>
      </c>
      <c r="M78">
        <f t="shared" si="11"/>
        <v>-0.36639079535098873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4.6330796700564392E-2</v>
      </c>
      <c r="I79">
        <f t="shared" si="7"/>
        <v>0.51158062772323387</v>
      </c>
      <c r="J79">
        <f t="shared" si="8"/>
        <v>1</v>
      </c>
      <c r="K79">
        <f t="shared" si="9"/>
        <v>0</v>
      </c>
      <c r="L79">
        <f t="shared" si="10"/>
        <v>0.51158062772323387</v>
      </c>
      <c r="M79">
        <f t="shared" si="11"/>
        <v>-0.67025007605530573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-7.453083622449264</v>
      </c>
      <c r="I80">
        <f t="shared" si="7"/>
        <v>5.7931562620150271E-4</v>
      </c>
      <c r="J80">
        <f t="shared" si="8"/>
        <v>0</v>
      </c>
      <c r="K80">
        <f t="shared" si="9"/>
        <v>0</v>
      </c>
      <c r="L80">
        <f t="shared" si="10"/>
        <v>0.9994206843737985</v>
      </c>
      <c r="M80">
        <f t="shared" si="11"/>
        <v>-5.7948349433443742E-4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-3.2142596165706649</v>
      </c>
      <c r="I81">
        <f t="shared" si="7"/>
        <v>3.8632620420197418E-2</v>
      </c>
      <c r="J81">
        <f t="shared" si="8"/>
        <v>0</v>
      </c>
      <c r="K81">
        <f t="shared" si="9"/>
        <v>0</v>
      </c>
      <c r="L81">
        <f t="shared" si="10"/>
        <v>0.96136737957980256</v>
      </c>
      <c r="M81">
        <f t="shared" si="11"/>
        <v>-3.9398654220859412E-2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-4.3987553424160817</v>
      </c>
      <c r="I82">
        <f t="shared" si="7"/>
        <v>1.2143356704088209E-2</v>
      </c>
      <c r="J82">
        <f t="shared" si="8"/>
        <v>0</v>
      </c>
      <c r="K82">
        <f t="shared" si="9"/>
        <v>0</v>
      </c>
      <c r="L82">
        <f t="shared" si="10"/>
        <v>0.98785664329591183</v>
      </c>
      <c r="M82">
        <f t="shared" si="11"/>
        <v>-1.2217689640616558E-2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-12.105424176730882</v>
      </c>
      <c r="I83">
        <f t="shared" si="7"/>
        <v>5.5294085222365239E-6</v>
      </c>
      <c r="J83">
        <f t="shared" si="8"/>
        <v>0</v>
      </c>
      <c r="K83">
        <f t="shared" si="9"/>
        <v>0</v>
      </c>
      <c r="L83">
        <f t="shared" si="10"/>
        <v>0.99999447059147772</v>
      </c>
      <c r="M83">
        <f t="shared" si="11"/>
        <v>-5.5294238095113362E-6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-5.7239126464872383</v>
      </c>
      <c r="I84">
        <f t="shared" si="7"/>
        <v>3.2562657182390281E-3</v>
      </c>
      <c r="J84">
        <f t="shared" si="8"/>
        <v>0</v>
      </c>
      <c r="K84">
        <f t="shared" si="9"/>
        <v>0</v>
      </c>
      <c r="L84">
        <f t="shared" si="10"/>
        <v>0.996743734281761</v>
      </c>
      <c r="M84">
        <f t="shared" si="11"/>
        <v>-3.2615788886512843E-3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0.12190971327926636</v>
      </c>
      <c r="I85">
        <f t="shared" si="7"/>
        <v>0.53043973809437051</v>
      </c>
      <c r="J85">
        <f t="shared" si="8"/>
        <v>1</v>
      </c>
      <c r="K85">
        <f t="shared" si="9"/>
        <v>1</v>
      </c>
      <c r="L85">
        <f t="shared" si="10"/>
        <v>0.46956026190562949</v>
      </c>
      <c r="M85">
        <f t="shared" si="11"/>
        <v>-0.75595863520378503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0.28095502302804753</v>
      </c>
      <c r="I86">
        <f t="shared" si="7"/>
        <v>0.56978034499037034</v>
      </c>
      <c r="J86">
        <f t="shared" si="8"/>
        <v>1</v>
      </c>
      <c r="K86">
        <f t="shared" si="9"/>
        <v>1</v>
      </c>
      <c r="L86">
        <f t="shared" si="10"/>
        <v>0.43021965500962966</v>
      </c>
      <c r="M86">
        <f t="shared" si="11"/>
        <v>-0.84345937511772273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-3.9365511075119235</v>
      </c>
      <c r="I87">
        <f t="shared" si="7"/>
        <v>1.9141844492739063E-2</v>
      </c>
      <c r="J87">
        <f t="shared" si="8"/>
        <v>0</v>
      </c>
      <c r="K87">
        <f t="shared" si="9"/>
        <v>1</v>
      </c>
      <c r="L87">
        <f t="shared" si="10"/>
        <v>1.9141844492739063E-2</v>
      </c>
      <c r="M87">
        <f t="shared" si="11"/>
        <v>-3.9558785291188081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-0.66328079700384812</v>
      </c>
      <c r="I88">
        <f t="shared" si="7"/>
        <v>0.34000301154566631</v>
      </c>
      <c r="J88">
        <f t="shared" si="8"/>
        <v>0</v>
      </c>
      <c r="K88">
        <f t="shared" si="9"/>
        <v>1</v>
      </c>
      <c r="L88">
        <f t="shared" si="10"/>
        <v>0.34000301154566631</v>
      </c>
      <c r="M88">
        <f t="shared" si="11"/>
        <v>-1.0788008039239034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1.7266986304933405</v>
      </c>
      <c r="I89">
        <f t="shared" si="7"/>
        <v>0.84898965161300566</v>
      </c>
      <c r="J89">
        <f t="shared" si="8"/>
        <v>1</v>
      </c>
      <c r="K89">
        <f t="shared" si="9"/>
        <v>0</v>
      </c>
      <c r="L89">
        <f t="shared" si="10"/>
        <v>0.84898965161300566</v>
      </c>
      <c r="M89">
        <f t="shared" si="11"/>
        <v>-0.1637082816579071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-24.788096600607162</v>
      </c>
      <c r="I90">
        <f t="shared" si="7"/>
        <v>1.7165894120579164E-11</v>
      </c>
      <c r="J90">
        <f t="shared" si="8"/>
        <v>0</v>
      </c>
      <c r="K90">
        <f t="shared" si="9"/>
        <v>0</v>
      </c>
      <c r="L90">
        <f t="shared" si="10"/>
        <v>0.99999999998283406</v>
      </c>
      <c r="M90">
        <f t="shared" si="11"/>
        <v>-1.7165935339994118E-11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-3.2933566222453106</v>
      </c>
      <c r="I91">
        <f t="shared" si="7"/>
        <v>3.5799800702554084E-2</v>
      </c>
      <c r="J91">
        <f t="shared" si="8"/>
        <v>0</v>
      </c>
      <c r="K91">
        <f t="shared" si="9"/>
        <v>0</v>
      </c>
      <c r="L91">
        <f t="shared" si="10"/>
        <v>0.96420019929744594</v>
      </c>
      <c r="M91">
        <f t="shared" si="11"/>
        <v>-3.6456330313430603E-2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-2.5229903743675752</v>
      </c>
      <c r="I92">
        <f t="shared" si="7"/>
        <v>7.4262103264709223E-2</v>
      </c>
      <c r="J92">
        <f t="shared" si="8"/>
        <v>0</v>
      </c>
      <c r="K92">
        <f t="shared" si="9"/>
        <v>0</v>
      </c>
      <c r="L92">
        <f t="shared" si="10"/>
        <v>0.92573789673529072</v>
      </c>
      <c r="M92">
        <f t="shared" si="11"/>
        <v>-7.7164133283828512E-2</v>
      </c>
    </row>
  </sheetData>
  <autoFilter ref="K2" xr:uid="{54B47621-21B5-43E8-B000-D8B65110EE42}"/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2025-11-28T07:09:42Z</dcterms:modified>
  <cp:category/>
  <cp:contentStatus/>
</cp:coreProperties>
</file>