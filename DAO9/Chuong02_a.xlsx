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DL\sgu25_data_analytics\exerciese\DAO9\"/>
    </mc:Choice>
  </mc:AlternateContent>
  <xr:revisionPtr revIDLastSave="0" documentId="13_ncr:1_{D0C7E659-B2B5-4312-993C-3ED0E9C5F7A9}" xr6:coauthVersionLast="45" xr6:coauthVersionMax="45" xr10:uidLastSave="{00000000-0000-0000-0000-000000000000}"/>
  <bookViews>
    <workbookView xWindow="-108" yWindow="-108" windowWidth="23256" windowHeight="12456" xr2:uid="{A4DED16F-AC24-49B7-8EF9-514BDF9E0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1" l="1"/>
  <c r="D11" i="1"/>
  <c r="D27" i="1"/>
  <c r="D28" i="1"/>
  <c r="D29" i="1"/>
  <c r="D30" i="1"/>
  <c r="D31" i="1"/>
  <c r="D32" i="1"/>
  <c r="D33" i="1"/>
  <c r="D26" i="1"/>
  <c r="C33" i="1"/>
  <c r="C27" i="1"/>
  <c r="C28" i="1"/>
  <c r="C29" i="1"/>
  <c r="C30" i="1"/>
  <c r="C31" i="1"/>
  <c r="C32" i="1"/>
  <c r="C26" i="1"/>
  <c r="D10" i="1" l="1"/>
  <c r="D9" i="1"/>
  <c r="D8" i="1"/>
  <c r="D7" i="1"/>
  <c r="D6" i="1"/>
  <c r="D12" i="1" l="1"/>
</calcChain>
</file>

<file path=xl/sharedStrings.xml><?xml version="1.0" encoding="utf-8"?>
<sst xmlns="http://schemas.openxmlformats.org/spreadsheetml/2006/main" count="14" uniqueCount="14">
  <si>
    <t>Temperature</t>
  </si>
  <si>
    <t>Sales</t>
  </si>
  <si>
    <t>SUM(X)</t>
  </si>
  <si>
    <t>SUM(Y)</t>
  </si>
  <si>
    <t>SUM(XY)</t>
  </si>
  <si>
    <t>SUM(X^2)</t>
  </si>
  <si>
    <t>n</t>
  </si>
  <si>
    <t>m</t>
  </si>
  <si>
    <t>b</t>
  </si>
  <si>
    <t>SSE</t>
  </si>
  <si>
    <t>X</t>
  </si>
  <si>
    <t>(Y – Ŷ)²</t>
  </si>
  <si>
    <t xml:space="preserve">Y </t>
  </si>
  <si>
    <t>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</si>
</sst>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0621285975616691E-2"/>
                  <c:y val="-6.27664997869196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Sheet1!$A$5:$A$12</c:f>
              <c:numCache>
                <c:formatCode>General</c:formatCode>
                <c:ptCount val="8"/>
                <c:pt idx="0">
                  <c:v>91</c:v>
                </c:pt>
                <c:pt idx="1">
                  <c:v>87</c:v>
                </c:pt>
                <c:pt idx="2">
                  <c:v>86</c:v>
                </c:pt>
                <c:pt idx="3">
                  <c:v>88</c:v>
                </c:pt>
                <c:pt idx="4">
                  <c:v>92.8</c:v>
                </c:pt>
                <c:pt idx="5">
                  <c:v>95.2</c:v>
                </c:pt>
                <c:pt idx="6">
                  <c:v>93.3</c:v>
                </c:pt>
                <c:pt idx="7">
                  <c:v>97.7</c:v>
                </c:pt>
              </c:numCache>
            </c:numRef>
          </c:xVal>
          <c:yVal>
            <c:numRef>
              <c:f>Sheet1!$B$5:$B$12</c:f>
              <c:numCache>
                <c:formatCode>General</c:formatCode>
                <c:ptCount val="8"/>
                <c:pt idx="0">
                  <c:v>89.8</c:v>
                </c:pt>
                <c:pt idx="1">
                  <c:v>90.2</c:v>
                </c:pt>
                <c:pt idx="2">
                  <c:v>81.099999999999994</c:v>
                </c:pt>
                <c:pt idx="3">
                  <c:v>83</c:v>
                </c:pt>
                <c:pt idx="4">
                  <c:v>90.9</c:v>
                </c:pt>
                <c:pt idx="5">
                  <c:v>119</c:v>
                </c:pt>
                <c:pt idx="6">
                  <c:v>94.9</c:v>
                </c:pt>
                <c:pt idx="7">
                  <c:v>132.4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1-46F7-A8F4-7D4A7D1E0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42960"/>
        <c:axId val="543290832"/>
      </c:scatterChart>
      <c:valAx>
        <c:axId val="65704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90832"/>
        <c:crosses val="autoZero"/>
        <c:crossBetween val="midCat"/>
      </c:valAx>
      <c:valAx>
        <c:axId val="5432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4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10</xdr:row>
      <xdr:rowOff>175260</xdr:rowOff>
    </xdr:from>
    <xdr:to>
      <xdr:col>13</xdr:col>
      <xdr:colOff>495300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B38E4-4235-4B6B-B6C5-4169FD0D2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E842-7DD5-4343-95B4-B5EE0D50CE43}">
  <dimension ref="A4:D35"/>
  <sheetViews>
    <sheetView tabSelected="1" topLeftCell="A11" workbookViewId="0">
      <selection activeCell="D35" sqref="D35"/>
    </sheetView>
  </sheetViews>
  <sheetFormatPr defaultRowHeight="14.4" x14ac:dyDescent="0.3"/>
  <cols>
    <col min="1" max="1" width="19.44140625" bestFit="1" customWidth="1"/>
    <col min="2" max="2" width="7.109375" customWidth="1"/>
    <col min="3" max="3" width="11.21875" style="3" bestFit="1" customWidth="1"/>
    <col min="4" max="4" width="11.6640625" bestFit="1" customWidth="1"/>
  </cols>
  <sheetData>
    <row r="4" spans="1:4" ht="28.8" x14ac:dyDescent="0.3">
      <c r="A4" s="1" t="s">
        <v>0</v>
      </c>
      <c r="B4" s="1" t="s">
        <v>1</v>
      </c>
    </row>
    <row r="5" spans="1:4" x14ac:dyDescent="0.3">
      <c r="A5" s="2">
        <v>91</v>
      </c>
      <c r="B5" s="2">
        <v>89.8</v>
      </c>
    </row>
    <row r="6" spans="1:4" x14ac:dyDescent="0.3">
      <c r="A6" s="2">
        <v>87</v>
      </c>
      <c r="B6" s="2">
        <v>90.2</v>
      </c>
      <c r="C6" s="3" t="s">
        <v>2</v>
      </c>
      <c r="D6">
        <f>SUM(A:A)</f>
        <v>1462</v>
      </c>
    </row>
    <row r="7" spans="1:4" x14ac:dyDescent="0.3">
      <c r="A7" s="2">
        <v>86</v>
      </c>
      <c r="B7" s="2">
        <v>81.099999999999994</v>
      </c>
      <c r="C7" s="3" t="s">
        <v>3</v>
      </c>
      <c r="D7">
        <f>SUM(B:B)</f>
        <v>1562.6000000000001</v>
      </c>
    </row>
    <row r="8" spans="1:4" x14ac:dyDescent="0.3">
      <c r="A8" s="2">
        <v>88</v>
      </c>
      <c r="B8" s="2">
        <v>83</v>
      </c>
      <c r="C8" s="3" t="s">
        <v>4</v>
      </c>
      <c r="D8">
        <f>SUMPRODUCT(A:A,B:B)</f>
        <v>143703.54</v>
      </c>
    </row>
    <row r="9" spans="1:4" x14ac:dyDescent="0.3">
      <c r="A9" s="2">
        <v>92.8</v>
      </c>
      <c r="B9" s="2">
        <v>90.9</v>
      </c>
      <c r="C9" s="3" t="s">
        <v>5</v>
      </c>
      <c r="D9">
        <f>SUMPRODUCT(A:A,A:A)</f>
        <v>133830.12</v>
      </c>
    </row>
    <row r="10" spans="1:4" x14ac:dyDescent="0.3">
      <c r="A10" s="2">
        <v>95.2</v>
      </c>
      <c r="B10" s="2">
        <v>119</v>
      </c>
      <c r="C10" s="3" t="s">
        <v>6</v>
      </c>
      <c r="D10">
        <f>COUNT(A:A)</f>
        <v>16</v>
      </c>
    </row>
    <row r="11" spans="1:4" x14ac:dyDescent="0.3">
      <c r="A11" s="2">
        <v>93.3</v>
      </c>
      <c r="B11" s="2">
        <v>94.9</v>
      </c>
      <c r="C11" s="3" t="s">
        <v>7</v>
      </c>
      <c r="D11">
        <f>(D10*D8-D6*D7) / (D10*D9-D6^2)</f>
        <v>3.8394338600075639</v>
      </c>
    </row>
    <row r="12" spans="1:4" x14ac:dyDescent="0.3">
      <c r="A12" s="2">
        <v>97.7</v>
      </c>
      <c r="B12" s="2">
        <v>132.4</v>
      </c>
      <c r="C12" s="3" t="s">
        <v>8</v>
      </c>
      <c r="D12">
        <f>(D9*D7-D6*D8)/(D10*D9-D6^2)</f>
        <v>-253.16576895818923</v>
      </c>
    </row>
    <row r="15" spans="1:4" x14ac:dyDescent="0.3">
      <c r="C15" s="5"/>
      <c r="D15" s="6"/>
    </row>
    <row r="16" spans="1:4" x14ac:dyDescent="0.3">
      <c r="D16" s="4"/>
    </row>
    <row r="17" spans="1:4" x14ac:dyDescent="0.3">
      <c r="D17" s="4"/>
    </row>
    <row r="18" spans="1:4" x14ac:dyDescent="0.3">
      <c r="D18" s="4"/>
    </row>
    <row r="23" spans="1:4" x14ac:dyDescent="0.3">
      <c r="D23" s="4"/>
    </row>
    <row r="25" spans="1:4" x14ac:dyDescent="0.3">
      <c r="A25" s="1" t="s">
        <v>10</v>
      </c>
      <c r="B25" s="1" t="s">
        <v>12</v>
      </c>
      <c r="C25" s="1" t="s">
        <v>13</v>
      </c>
      <c r="D25" s="1" t="s">
        <v>11</v>
      </c>
    </row>
    <row r="26" spans="1:4" x14ac:dyDescent="0.3">
      <c r="A26" s="2">
        <v>91</v>
      </c>
      <c r="B26" s="2">
        <v>89.8</v>
      </c>
      <c r="C26" s="7">
        <f>3.8394*B26 - 253.17</f>
        <v>91.608120000000014</v>
      </c>
      <c r="D26" s="7">
        <f>(B26-C26)^2</f>
        <v>3.2692979344000599</v>
      </c>
    </row>
    <row r="27" spans="1:4" x14ac:dyDescent="0.3">
      <c r="A27" s="2">
        <v>87</v>
      </c>
      <c r="B27" s="2">
        <v>90.2</v>
      </c>
      <c r="C27" s="7">
        <f t="shared" ref="C27:C33" si="0">3.8394*B27 - 253.17</f>
        <v>93.143879999999996</v>
      </c>
      <c r="D27" s="7">
        <f t="shared" ref="D27:D33" si="1">(B27-C27)^2</f>
        <v>8.6664294543999585</v>
      </c>
    </row>
    <row r="28" spans="1:4" x14ac:dyDescent="0.3">
      <c r="A28" s="2">
        <v>86</v>
      </c>
      <c r="B28" s="2">
        <v>81.099999999999994</v>
      </c>
      <c r="C28" s="7">
        <f t="shared" si="0"/>
        <v>58.205340000000007</v>
      </c>
      <c r="D28" s="7">
        <f t="shared" si="1"/>
        <v>524.16545651559943</v>
      </c>
    </row>
    <row r="29" spans="1:4" x14ac:dyDescent="0.3">
      <c r="A29" s="2">
        <v>88</v>
      </c>
      <c r="B29" s="2">
        <v>83</v>
      </c>
      <c r="C29" s="7">
        <f t="shared" si="0"/>
        <v>65.500199999999978</v>
      </c>
      <c r="D29" s="7">
        <f t="shared" si="1"/>
        <v>306.24300004000077</v>
      </c>
    </row>
    <row r="30" spans="1:4" x14ac:dyDescent="0.3">
      <c r="A30" s="2">
        <v>92.8</v>
      </c>
      <c r="B30" s="2">
        <v>90.9</v>
      </c>
      <c r="C30" s="7">
        <f t="shared" si="0"/>
        <v>95.831460000000021</v>
      </c>
      <c r="D30" s="7">
        <f t="shared" si="1"/>
        <v>24.319297731600152</v>
      </c>
    </row>
    <row r="31" spans="1:4" x14ac:dyDescent="0.3">
      <c r="A31" s="2">
        <v>95.2</v>
      </c>
      <c r="B31" s="2">
        <v>119</v>
      </c>
      <c r="C31" s="7">
        <f t="shared" si="0"/>
        <v>203.71860000000001</v>
      </c>
      <c r="D31" s="7">
        <f t="shared" si="1"/>
        <v>7177.2411859600015</v>
      </c>
    </row>
    <row r="32" spans="1:4" x14ac:dyDescent="0.3">
      <c r="A32" s="2">
        <v>93.3</v>
      </c>
      <c r="B32" s="2">
        <v>94.9</v>
      </c>
      <c r="C32" s="7">
        <f t="shared" si="0"/>
        <v>111.18906000000001</v>
      </c>
      <c r="D32" s="7">
        <f t="shared" si="1"/>
        <v>265.33347568360023</v>
      </c>
    </row>
    <row r="33" spans="1:4" x14ac:dyDescent="0.3">
      <c r="A33" s="2">
        <v>97.7</v>
      </c>
      <c r="B33" s="2">
        <v>132.4</v>
      </c>
      <c r="C33" s="7">
        <f>3.8394*B33 - 253.17</f>
        <v>255.16656000000003</v>
      </c>
      <c r="D33" s="7">
        <f t="shared" si="1"/>
        <v>15071.628254233607</v>
      </c>
    </row>
    <row r="35" spans="1:4" x14ac:dyDescent="0.3">
      <c r="C35" s="3" t="s">
        <v>9</v>
      </c>
      <c r="D35" s="7">
        <f>SUM(D26:D33)</f>
        <v>23380.866397553211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2025-11-28T08:14:36Z</dcterms:created>
  <dcterms:modified xsi:type="dcterms:W3CDTF">2025-11-28T11:24:36Z</dcterms:modified>
</cp:coreProperties>
</file>