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3CCF1F9-303F-476F-B62F-6AA735D40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C12" i="1" a="1"/>
  <c r="C12" i="1"/>
  <c r="C13" i="1" a="1"/>
  <c r="C13" i="1"/>
  <c r="C14" i="1" a="1"/>
  <c r="C14" i="1"/>
  <c r="C11" i="1" a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<sst xmlns="http://schemas.openxmlformats.org/spreadsheetml/2006/main" count="11" uniqueCount="8">
  <si>
    <t>Temperature (F)</t>
  </si>
  <si>
    <t>Ice Cream Sale (dollar in thousand)</t>
  </si>
  <si>
    <t>Tourists</t>
  </si>
  <si>
    <t>Sunny Days</t>
  </si>
  <si>
    <t>Y-intercept</t>
  </si>
  <si>
    <t>Predicted</t>
  </si>
  <si>
    <t>Error</t>
  </si>
  <si>
    <t>Sum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</si>
</sst>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6" sqref="E16"/>
    </sheetView>
  </sheetViews>
  <sheetFormatPr defaultRowHeight="14.4" x14ac:dyDescent="0.3"/>
  <cols>
    <col min="1" max="1" width="15.5546875" customWidth="1"/>
    <col min="2" max="2" width="15.88671875" customWidth="1"/>
    <col min="3" max="3" width="14.6640625" customWidth="1"/>
    <col min="4" max="4" width="32.44140625" bestFit="1" customWidth="1"/>
    <col min="5" max="5" width="32.44140625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</v>
      </c>
      <c r="E1" t="s">
        <v>5</v>
      </c>
      <c r="F1" t="s">
        <v>6</v>
      </c>
    </row>
    <row r="2" spans="1:6" x14ac:dyDescent="0.3">
      <c r="A2" s="1">
        <v>91</v>
      </c>
      <c r="B2" s="1">
        <v>998</v>
      </c>
      <c r="C2" s="1">
        <v>4</v>
      </c>
      <c r="D2" s="1">
        <v>89.8</v>
      </c>
      <c r="E2">
        <f>A2*$C$13 + B2*$C$12 + C2*$C$11 + $C$14</f>
        <v>88.770599892675023</v>
      </c>
      <c r="F2">
        <f>POWER(D2-E2, 2)</f>
        <v>1.0596645809606691</v>
      </c>
    </row>
    <row r="3" spans="1:6" x14ac:dyDescent="0.3">
      <c r="A3" s="1">
        <v>87</v>
      </c>
      <c r="B3" s="1">
        <v>1256</v>
      </c>
      <c r="C3" s="1">
        <v>7</v>
      </c>
      <c r="D3" s="1">
        <v>90.2</v>
      </c>
      <c r="E3">
        <f t="shared" ref="E3:E9" si="0">A3*$C$13 + B3*$C$12 + C3*$C$11 + $C$14</f>
        <v>90.390725606528406</v>
      </c>
      <c r="F3">
        <f t="shared" ref="F3:F9" si="1">POWER(D3-E3, 2)</f>
        <v>3.6376256985627235E-2</v>
      </c>
    </row>
    <row r="4" spans="1:6" x14ac:dyDescent="0.3">
      <c r="A4" s="1">
        <v>86</v>
      </c>
      <c r="B4" s="1">
        <v>791</v>
      </c>
      <c r="C4" s="1">
        <v>6</v>
      </c>
      <c r="D4" s="1">
        <v>81.099999999999994</v>
      </c>
      <c r="E4">
        <f t="shared" si="0"/>
        <v>81.08535834704594</v>
      </c>
      <c r="F4">
        <f t="shared" si="1"/>
        <v>2.1437800122697307E-4</v>
      </c>
    </row>
    <row r="5" spans="1:6" x14ac:dyDescent="0.3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83.195592678492687</v>
      </c>
      <c r="F5">
        <f t="shared" si="1"/>
        <v>3.8256495879943765E-2</v>
      </c>
    </row>
    <row r="6" spans="1:6" x14ac:dyDescent="0.3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89.84727235480392</v>
      </c>
      <c r="F6">
        <f t="shared" si="1"/>
        <v>1.1082354949600961</v>
      </c>
    </row>
    <row r="7" spans="1:6" x14ac:dyDescent="0.3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117.19568579748471</v>
      </c>
      <c r="F7">
        <f t="shared" si="1"/>
        <v>3.2555497413983727</v>
      </c>
    </row>
    <row r="8" spans="1:6" x14ac:dyDescent="0.3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97.808960467081249</v>
      </c>
      <c r="F8">
        <f t="shared" si="1"/>
        <v>8.4620509990415265</v>
      </c>
    </row>
    <row r="9" spans="1:6" x14ac:dyDescent="0.3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133.00580485588836</v>
      </c>
      <c r="F9">
        <f t="shared" si="1"/>
        <v>0.36699952341790609</v>
      </c>
    </row>
    <row r="11" spans="1:6" x14ac:dyDescent="0.3">
      <c r="A11" t="s">
        <v>3</v>
      </c>
      <c r="B11">
        <v>1</v>
      </c>
      <c r="C11" cm="1">
        <f t="array" ref="C11">INDEX(LINEST(D$2:D$9, A$2:C$9, TRUE, TRUE), 1, B11)</f>
        <v>5.9564655285595709</v>
      </c>
      <c r="E11" t="s">
        <v>7</v>
      </c>
      <c r="F11">
        <f>SUM(F2:F9)</f>
        <v>14.327347470645368</v>
      </c>
    </row>
    <row r="12" spans="1:6" x14ac:dyDescent="0.3">
      <c r="A12" t="s">
        <v>2</v>
      </c>
      <c r="B12">
        <v>2</v>
      </c>
      <c r="C12" cm="1">
        <f t="array" ref="C12">INDEX(LINEST(D$2:D$9, A$2:C$9, TRUE, TRUE), 1, B12)</f>
        <v>-1.3473389745675504E-3</v>
      </c>
    </row>
    <row r="13" spans="1:6" x14ac:dyDescent="0.3">
      <c r="A13" t="s">
        <v>0</v>
      </c>
      <c r="B13">
        <v>3</v>
      </c>
      <c r="C13" cm="1">
        <f t="array" ref="C13">INDEX(LINEST(D$2:D$9, A$2:C$9, TRUE, TRUE), 1, B13)</f>
        <v>3.9754143540967339</v>
      </c>
    </row>
    <row r="14" spans="1:6" x14ac:dyDescent="0.3">
      <c r="A14" t="s">
        <v>4</v>
      </c>
      <c r="B14">
        <v>4</v>
      </c>
      <c r="C14" cm="1">
        <f t="array" ref="C14">INDEX(LINEST(D$2:D$9, A$2:C$9, TRUE, TRUE), 1, B14)</f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2025-11-28T10:05:26Z</dcterms:modified>
</cp:coreProperties>
</file>